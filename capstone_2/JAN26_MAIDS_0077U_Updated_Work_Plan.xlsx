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<sst xmlns="http://schemas.openxmlformats.org/spreadsheetml/2006/main" count="59" uniqueCount="37">
  <si>
    <t xml:space="preserve">CAI 8103 Capstone II — Updated work plan (JAN26/MAIDS/0077U), as at 19 Oct 2026</t>
  </si>
  <si>
    <t xml:space="preserve">Dates assume a final examination in early December 2026; edit Start/End (blue) if the date differs. Duration is calculated.</t>
  </si>
  <si>
    <t xml:space="preserve">#</t>
  </si>
  <si>
    <t xml:space="preserve">Activity</t>
  </si>
  <si>
    <t xml:space="preserve">Phase</t>
  </si>
  <si>
    <t xml:space="preserve">Status</t>
  </si>
  <si>
    <t xml:space="preserve">Start</t>
  </si>
  <si>
    <t xml:space="preserve">End</t>
  </si>
  <si>
    <t xml:space="preserve">Duration (days)</t>
  </si>
  <si>
    <t xml:space="preserve">Evidence / output</t>
  </si>
  <si>
    <t xml:space="preserve">Data ingestion, cleaning, annual aggregation, GIS integration</t>
  </si>
  <si>
    <t xml:space="preserve">Capstone I</t>
  </si>
  <si>
    <t xml:space="preserve">Completed</t>
  </si>
  <si>
    <t xml:space="preserve">notebooks/uganda_electricity_loss_risk.ipynb</t>
  </si>
  <si>
    <t xml:space="preserve">Descriptive analysis, VIF screening, K-Means, LOEO tree models, SHAP, final report and manuscript draft</t>
  </si>
  <si>
    <t xml:space="preserve">Capstone I report; manuscript draft</t>
  </si>
  <si>
    <t xml:space="preserve">Leakage audit; leakage-safe lag features (loss_lag1, loss_slope_lag3)</t>
  </si>
  <si>
    <t xml:space="preserve">Capstone II</t>
  </si>
  <si>
    <t xml:space="preserve">capstone2/build_panel.py, leakage_audit.py, tables/leakage_audit.csv</t>
  </si>
  <si>
    <t xml:space="preserve">Clipped transmission, GIS imputation flag, coverage audit, full-boundary map</t>
  </si>
  <si>
    <t xml:space="preserve">capstone2/gis_features.py, figures/c2_archetype_map.png</t>
  </si>
  <si>
    <t xml:space="preserve">Structural/Persistence/Forecast x Ridge/RF/XGBoost; mean and naive-persistence baselines; bootstrap CIs; ablation; complete-case check</t>
  </si>
  <si>
    <t xml:space="preserve">capstone2/models.py, tables/loeo_results_main.csv</t>
  </si>
  <si>
    <t xml:space="preserve">Rolling-origin validation; entity-level archetypes with bootstrap ARI; out-of-fold SHAP</t>
  </si>
  <si>
    <t xml:space="preserve">tables/rolling_origin_metrics.csv, cluster_bootstrap_ari.csv, oof_attribution_*.csv</t>
  </si>
  <si>
    <t xml:space="preserve">Modular pipeline, runner, 6 automated tests, Git branch capstone2</t>
  </si>
  <si>
    <t xml:space="preserve">capstone2/run_all.py, tests/test_pipeline.py</t>
  </si>
  <si>
    <t xml:space="preserve">Ingest ERA Q4 2025 statistics; prospective test (train &lt;=2022, test 2023-2025); flag Umeme handover (31 Mar 2025)</t>
  </si>
  <si>
    <t xml:space="preserve">Outstanding</t>
  </si>
  <si>
    <t xml:space="preserve">Model change from persistence (delta-loss target); report skill relative to naive persistence</t>
  </si>
  <si>
    <t xml:space="preserve">Conformal prediction intervals for licensee-level screening</t>
  </si>
  <si>
    <t xml:space="preserve">Shock analysis 2018-2020 (BECS, NWST); sensitivity excluding GIS-imputed licensees</t>
  </si>
  <si>
    <t xml:space="preserve">Peer-benchmarking screening prototype (archetype z-scores, persistence flags, intervals)</t>
  </si>
  <si>
    <t xml:space="preserve">Revise manuscript with clean results; final report; demonstration rehearsal</t>
  </si>
  <si>
    <t xml:space="preserve">Completed activities</t>
  </si>
  <si>
    <t xml:space="preserve">Outstanding activities</t>
  </si>
  <si>
    <t xml:space="preserve">Share completed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</si>
</sst>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9F2E3"/>
        </patternFill>
      </fill>
    </dxf>
    <dxf>
      <fill>
        <patternFill>
          <bgColor rgb="FFFDE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6" min="4" style="0" width="13"/>
    <col collapsed="false" customWidth="true" hidden="false" outlineLevel="0" max="7" min="7" style="0" width="10"/>
    <col collapsed="false" customWidth="true" hidden="false" outlineLevel="0" max="8" min="8" style="0" width="4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4" t="s">
        <v>10</v>
      </c>
      <c r="C5" s="4" t="s">
        <v>11</v>
      </c>
      <c r="D5" s="4" t="s">
        <v>12</v>
      </c>
      <c r="E5" s="5"/>
      <c r="F5" s="5"/>
      <c r="G5" s="6" t="str">
        <f aca="false">IF(AND(E5&lt;&gt;"",F5&lt;&gt;""),F5-E5+1,"")</f>
        <v/>
      </c>
      <c r="H5" s="4" t="s">
        <v>13</v>
      </c>
    </row>
    <row r="6" customFormat="false" ht="23.85" hidden="false" customHeight="false" outlineLevel="0" collapsed="false">
      <c r="A6" s="4" t="n">
        <v>2</v>
      </c>
      <c r="B6" s="4" t="s">
        <v>14</v>
      </c>
      <c r="C6" s="4" t="s">
        <v>11</v>
      </c>
      <c r="D6" s="4" t="s">
        <v>12</v>
      </c>
      <c r="E6" s="5"/>
      <c r="F6" s="5"/>
      <c r="G6" s="6" t="str">
        <f aca="false">IF(AND(E6&lt;&gt;"",F6&lt;&gt;""),F6-E6+1,"")</f>
        <v/>
      </c>
      <c r="H6" s="4" t="s">
        <v>15</v>
      </c>
    </row>
    <row r="7" customFormat="false" ht="23.85" hidden="false" customHeight="false" outlineLevel="0" collapsed="false">
      <c r="A7" s="4" t="n">
        <v>3</v>
      </c>
      <c r="B7" s="4" t="s">
        <v>16</v>
      </c>
      <c r="C7" s="4" t="s">
        <v>17</v>
      </c>
      <c r="D7" s="4" t="s">
        <v>12</v>
      </c>
      <c r="E7" s="7" t="n">
        <v>46296</v>
      </c>
      <c r="F7" s="7" t="n">
        <v>46314</v>
      </c>
      <c r="G7" s="6" t="n">
        <f aca="false">IF(AND(E7&lt;&gt;"",F7&lt;&gt;""),F7-E7+1,"")</f>
        <v>19</v>
      </c>
      <c r="H7" s="4" t="s">
        <v>18</v>
      </c>
    </row>
    <row r="8" customFormat="false" ht="15" hidden="false" customHeight="false" outlineLevel="0" collapsed="false">
      <c r="A8" s="4" t="n">
        <v>4</v>
      </c>
      <c r="B8" s="4" t="s">
        <v>19</v>
      </c>
      <c r="C8" s="4" t="s">
        <v>17</v>
      </c>
      <c r="D8" s="4" t="s">
        <v>12</v>
      </c>
      <c r="E8" s="7" t="n">
        <v>46296</v>
      </c>
      <c r="F8" s="7" t="n">
        <v>46314</v>
      </c>
      <c r="G8" s="6" t="n">
        <f aca="false">IF(AND(E8&lt;&gt;"",F8&lt;&gt;""),F8-E8+1,"")</f>
        <v>19</v>
      </c>
      <c r="H8" s="4" t="s">
        <v>20</v>
      </c>
    </row>
    <row r="9" customFormat="false" ht="23.85" hidden="false" customHeight="false" outlineLevel="0" collapsed="false">
      <c r="A9" s="4" t="n">
        <v>5</v>
      </c>
      <c r="B9" s="4" t="s">
        <v>21</v>
      </c>
      <c r="C9" s="4" t="s">
        <v>17</v>
      </c>
      <c r="D9" s="4" t="s">
        <v>12</v>
      </c>
      <c r="E9" s="7" t="n">
        <v>46296</v>
      </c>
      <c r="F9" s="7" t="n">
        <v>46314</v>
      </c>
      <c r="G9" s="6" t="n">
        <f aca="false">IF(AND(E9&lt;&gt;"",F9&lt;&gt;""),F9-E9+1,"")</f>
        <v>19</v>
      </c>
      <c r="H9" s="4" t="s">
        <v>22</v>
      </c>
    </row>
    <row r="10" customFormat="false" ht="23.85" hidden="false" customHeight="false" outlineLevel="0" collapsed="false">
      <c r="A10" s="4" t="n">
        <v>6</v>
      </c>
      <c r="B10" s="4" t="s">
        <v>23</v>
      </c>
      <c r="C10" s="4" t="s">
        <v>17</v>
      </c>
      <c r="D10" s="4" t="s">
        <v>12</v>
      </c>
      <c r="E10" s="7" t="n">
        <v>46296</v>
      </c>
      <c r="F10" s="7" t="n">
        <v>46314</v>
      </c>
      <c r="G10" s="6" t="n">
        <f aca="false">IF(AND(E10&lt;&gt;"",F10&lt;&gt;""),F10-E10+1,"")</f>
        <v>19</v>
      </c>
      <c r="H10" s="4" t="s">
        <v>24</v>
      </c>
    </row>
    <row r="11" customFormat="false" ht="15" hidden="false" customHeight="false" outlineLevel="0" collapsed="false">
      <c r="A11" s="4" t="n">
        <v>7</v>
      </c>
      <c r="B11" s="4" t="s">
        <v>25</v>
      </c>
      <c r="C11" s="4" t="s">
        <v>17</v>
      </c>
      <c r="D11" s="4" t="s">
        <v>12</v>
      </c>
      <c r="E11" s="7" t="n">
        <v>46296</v>
      </c>
      <c r="F11" s="7" t="n">
        <v>46314</v>
      </c>
      <c r="G11" s="6" t="n">
        <f aca="false">IF(AND(E11&lt;&gt;"",F11&lt;&gt;""),F11-E11+1,"")</f>
        <v>19</v>
      </c>
      <c r="H11" s="4" t="s">
        <v>26</v>
      </c>
    </row>
    <row r="12" customFormat="false" ht="23.85" hidden="false" customHeight="false" outlineLevel="0" collapsed="false">
      <c r="A12" s="4" t="n">
        <v>8</v>
      </c>
      <c r="B12" s="4" t="s">
        <v>27</v>
      </c>
      <c r="C12" s="4" t="s">
        <v>17</v>
      </c>
      <c r="D12" s="4" t="s">
        <v>28</v>
      </c>
      <c r="E12" s="7" t="n">
        <v>46315</v>
      </c>
      <c r="F12" s="7" t="n">
        <v>46328</v>
      </c>
      <c r="G12" s="6" t="n">
        <f aca="false">IF(AND(E12&lt;&gt;"",F12&lt;&gt;""),F12-E12+1,"")</f>
        <v>14</v>
      </c>
      <c r="H12" s="4"/>
    </row>
    <row r="13" customFormat="false" ht="23.85" hidden="false" customHeight="false" outlineLevel="0" collapsed="false">
      <c r="A13" s="4" t="n">
        <v>9</v>
      </c>
      <c r="B13" s="4" t="s">
        <v>29</v>
      </c>
      <c r="C13" s="4" t="s">
        <v>17</v>
      </c>
      <c r="D13" s="4" t="s">
        <v>28</v>
      </c>
      <c r="E13" s="7" t="n">
        <v>46322</v>
      </c>
      <c r="F13" s="7" t="n">
        <v>46335</v>
      </c>
      <c r="G13" s="6" t="n">
        <f aca="false">IF(AND(E13&lt;&gt;"",F13&lt;&gt;""),F13-E13+1,"")</f>
        <v>14</v>
      </c>
      <c r="H13" s="4"/>
    </row>
    <row r="14" customFormat="false" ht="15" hidden="false" customHeight="false" outlineLevel="0" collapsed="false">
      <c r="A14" s="4" t="n">
        <v>10</v>
      </c>
      <c r="B14" s="4" t="s">
        <v>30</v>
      </c>
      <c r="C14" s="4" t="s">
        <v>17</v>
      </c>
      <c r="D14" s="4" t="s">
        <v>28</v>
      </c>
      <c r="E14" s="7" t="n">
        <v>46329</v>
      </c>
      <c r="F14" s="7" t="n">
        <v>46335</v>
      </c>
      <c r="G14" s="6" t="n">
        <f aca="false">IF(AND(E14&lt;&gt;"",F14&lt;&gt;""),F14-E14+1,"")</f>
        <v>7</v>
      </c>
      <c r="H14" s="4"/>
    </row>
    <row r="15" customFormat="false" ht="23.85" hidden="false" customHeight="false" outlineLevel="0" collapsed="false">
      <c r="A15" s="4" t="n">
        <v>11</v>
      </c>
      <c r="B15" s="4" t="s">
        <v>31</v>
      </c>
      <c r="C15" s="4" t="s">
        <v>17</v>
      </c>
      <c r="D15" s="4" t="s">
        <v>28</v>
      </c>
      <c r="E15" s="7" t="n">
        <v>46329</v>
      </c>
      <c r="F15" s="7" t="n">
        <v>46342</v>
      </c>
      <c r="G15" s="6" t="n">
        <f aca="false">IF(AND(E15&lt;&gt;"",F15&lt;&gt;""),F15-E15+1,"")</f>
        <v>14</v>
      </c>
      <c r="H15" s="4"/>
    </row>
    <row r="16" customFormat="false" ht="23.85" hidden="false" customHeight="false" outlineLevel="0" collapsed="false">
      <c r="A16" s="4" t="n">
        <v>12</v>
      </c>
      <c r="B16" s="4" t="s">
        <v>32</v>
      </c>
      <c r="C16" s="4" t="s">
        <v>17</v>
      </c>
      <c r="D16" s="4" t="s">
        <v>28</v>
      </c>
      <c r="E16" s="7" t="n">
        <v>46336</v>
      </c>
      <c r="F16" s="7" t="n">
        <v>46349</v>
      </c>
      <c r="G16" s="6" t="n">
        <f aca="false">IF(AND(E16&lt;&gt;"",F16&lt;&gt;""),F16-E16+1,"")</f>
        <v>14</v>
      </c>
      <c r="H16" s="4"/>
    </row>
    <row r="17" customFormat="false" ht="15" hidden="false" customHeight="false" outlineLevel="0" collapsed="false">
      <c r="A17" s="4" t="n">
        <v>13</v>
      </c>
      <c r="B17" s="4" t="s">
        <v>33</v>
      </c>
      <c r="C17" s="4" t="s">
        <v>17</v>
      </c>
      <c r="D17" s="4" t="s">
        <v>28</v>
      </c>
      <c r="E17" s="7" t="n">
        <v>46343</v>
      </c>
      <c r="F17" s="7" t="n">
        <v>46356</v>
      </c>
      <c r="G17" s="6" t="n">
        <f aca="false">IF(AND(E17&lt;&gt;"",F17&lt;&gt;""),F17-E17+1,"")</f>
        <v>14</v>
      </c>
      <c r="H17" s="4"/>
    </row>
    <row r="19" customFormat="false" ht="15" hidden="false" customHeight="false" outlineLevel="0" collapsed="false">
      <c r="B19" s="8" t="s">
        <v>34</v>
      </c>
      <c r="C19" s="8" t="n">
        <f aca="false">COUNTIF(D5:D17,"Completed")</f>
        <v>7</v>
      </c>
    </row>
    <row r="20" customFormat="false" ht="15" hidden="false" customHeight="false" outlineLevel="0" collapsed="false">
      <c r="B20" s="8" t="s">
        <v>35</v>
      </c>
      <c r="C20" s="8" t="n">
        <f aca="false">COUNTIF(D5:D17,"Outstanding")</f>
        <v>6</v>
      </c>
    </row>
    <row r="21" customFormat="false" ht="15" hidden="false" customHeight="false" outlineLevel="0" collapsed="false">
      <c r="B21" s="8" t="s">
        <v>36</v>
      </c>
      <c r="C21" s="9" t="n">
        <f aca="false">C19/(C19+C20)</f>
        <v>0.538461538461538</v>
      </c>
    </row>
  </sheetData>
  <conditionalFormatting sqref="D5:D17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"Outstanding"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2026-10-19T07:59:21Z</dcterms:created>
  <dc:creator>openpyxl</dc:creator>
  <dc:description/>
  <dc:language>en-US</dc:language>
  <cp:lastModifiedBy/>
  <dcterms:modified xsi:type="dcterms:W3CDTF">2026-10-19T07:59:21Z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